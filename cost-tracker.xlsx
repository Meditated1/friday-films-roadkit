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p Summary" sheetId="1" state="visible" r:id="rId3"/>
    <sheet name="Fuel" sheetId="2" state="visible" r:id="rId4"/>
    <sheet name="Hote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<sst xmlns="http://schemas.openxmlformats.org/spreadsheetml/2006/main" count="102" uniqueCount="90">
  <si>
    <t xml:space="preserve">Salina, KS  -&gt;  Leesburg, FL  ·  Move Itinerary</t>
  </si>
  <si>
    <t xml:space="preserve">Departing Friday, July 10, 2026 · 4 days / 3 nights · 2018 Tacoma TRD (towing 2,300 lb T-bucket) + 2024 Land Cruiser · baby aboard</t>
  </si>
  <si>
    <t xml:space="preserve">Route (easiest towing): I-135 &gt; I-35 &gt; I-40 &gt; I-22 &gt; I-65 &gt; US-231 &gt; I-10 &gt; I-75 (Exit 329 Wildwood) · ~1,555 mi · ~23.5 hrs · $0 tolls</t>
  </si>
  <si>
    <t xml:space="preserve">Day</t>
  </si>
  <si>
    <t xml:space="preserve">Date</t>
  </si>
  <si>
    <t xml:space="preserve">From</t>
  </si>
  <si>
    <t xml:space="preserve">To (overnight)</t>
  </si>
  <si>
    <t xml:space="preserve">Miles</t>
  </si>
  <si>
    <t xml:space="preserve">Drive hrs</t>
  </si>
  <si>
    <t xml:space="preserve">Key highways</t>
  </si>
  <si>
    <t xml:space="preserve">Jul 10</t>
  </si>
  <si>
    <t xml:space="preserve">Salina, KS</t>
  </si>
  <si>
    <t xml:space="preserve">Oklahoma City, OK</t>
  </si>
  <si>
    <t xml:space="preserve">I-135 S &gt; I-35 S</t>
  </si>
  <si>
    <t xml:space="preserve">Jul 11</t>
  </si>
  <si>
    <t xml:space="preserve">Memphis, TN (East/Wolfchase)</t>
  </si>
  <si>
    <t xml:space="preserve">I-40 E (via Little Rock)</t>
  </si>
  <si>
    <t xml:space="preserve">Jul 12</t>
  </si>
  <si>
    <t xml:space="preserve">Memphis, TN</t>
  </si>
  <si>
    <t xml:space="preserve">Montgomery, AL (EastChase)</t>
  </si>
  <si>
    <t xml:space="preserve">I-22 E &gt; I-65 S</t>
  </si>
  <si>
    <t xml:space="preserve">Jul 13</t>
  </si>
  <si>
    <t xml:space="preserve">Montgomery, AL</t>
  </si>
  <si>
    <t xml:space="preserve">Leesburg, FL</t>
  </si>
  <si>
    <t xml:space="preserve">US-231 S &gt; I-10 E &gt; I-75 S (Exit 329)</t>
  </si>
  <si>
    <t xml:space="preserve">TOTAL</t>
  </si>
  <si>
    <t xml:space="preserve">COST SUMMARY (estimate)</t>
  </si>
  <si>
    <t xml:space="preserve">Fuel - both vehicles</t>
  </si>
  <si>
    <t xml:space="preserve">Hotels - picks x rooms</t>
  </si>
  <si>
    <t xml:space="preserve">Tolls</t>
  </si>
  <si>
    <t xml:space="preserve">Food/misc (not included - your call)</t>
  </si>
  <si>
    <t xml:space="preserve">TRIP TOTAL (fuel + hotels + tolls)</t>
  </si>
  <si>
    <t xml:space="preserve">Fuel Estimate</t>
  </si>
  <si>
    <t xml:space="preserve">Yellow cells = editable assumptions. Re-check state prices the week you leave.</t>
  </si>
  <si>
    <t xml:space="preserve">Total trip miles</t>
  </si>
  <si>
    <t xml:space="preserve">Blended gas price ($/gal)</t>
  </si>
  <si>
    <t xml:space="preserve">Vehicle</t>
  </si>
  <si>
    <t xml:space="preserve">MPG</t>
  </si>
  <si>
    <t xml:space="preserve">Gallons</t>
  </si>
  <si>
    <t xml:space="preserve">$/gal</t>
  </si>
  <si>
    <t xml:space="preserve">Fuel cost</t>
  </si>
  <si>
    <t xml:space="preserve">Tacoma TRD (towing 2,300 lb)</t>
  </si>
  <si>
    <t xml:space="preserve">2024 Land Cruiser (hybrid)</t>
  </si>
  <si>
    <t xml:space="preserve">COMBINED</t>
  </si>
  <si>
    <t xml:space="preserve">State avg regular (early-June 2026 AAA):</t>
  </si>
  <si>
    <t xml:space="preserve">OK $3.74 (cheapest) · MS $3.81 · AR $3.86 · AL $3.89 · KS $3.90 · FL $3.91 · TN $3.93</t>
  </si>
  <si>
    <t xml:space="preserve">Total fuel -&gt;</t>
  </si>
  <si>
    <t xml:space="preserve">Hotel Options - Marriott / Hilton family · on Hotels.com (use points)</t>
  </si>
  <si>
    <t xml:space="preserve">Click a hotel name to open Hotels.com (use points). Mark one 'x' per night in Choose. Default picks pre-filled. Rooms/night editable (yellow).</t>
  </si>
  <si>
    <t xml:space="preserve">Rooms per night:</t>
  </si>
  <si>
    <t xml:space="preserve">Choose</t>
  </si>
  <si>
    <t xml:space="preserve">Night</t>
  </si>
  <si>
    <t xml:space="preserve">City / Area</t>
  </si>
  <si>
    <t xml:space="preserve">Hotel</t>
  </si>
  <si>
    <t xml:space="preserve">Brand</t>
  </si>
  <si>
    <t xml:space="preserve">Rating</t>
  </si>
  <si>
    <t xml:space="preserve">Est $/room</t>
  </si>
  <si>
    <t xml:space="preserve">Notes</t>
  </si>
  <si>
    <t xml:space="preserve">x</t>
  </si>
  <si>
    <t xml:space="preserve">OKC · I-40 @ Meridian</t>
  </si>
  <si>
    <t xml:space="preserve">Marriott</t>
  </si>
  <si>
    <t xml:space="preserve">3.7</t>
  </si>
  <si>
    <t xml:space="preserve">Bus/horse-trailer parking; outdoor pool</t>
  </si>
  <si>
    <t xml:space="preserve">OKC · I-40/I-44 Meridian</t>
  </si>
  <si>
    <t xml:space="preserve">Hilton</t>
  </si>
  <si>
    <t xml:space="preserve">8.7/10</t>
  </si>
  <si>
    <t xml:space="preserve">All-suite+kitchen; FREE bkfst; indoor pool</t>
  </si>
  <si>
    <t xml:space="preserve">OKC · Meridian</t>
  </si>
  <si>
    <t xml:space="preserve">8.1/10</t>
  </si>
  <si>
    <t xml:space="preserve">FREE hot bkfst; indoor pool; shuttle</t>
  </si>
  <si>
    <t xml:space="preserve">Memphis E · I-40 Exit 16</t>
  </si>
  <si>
    <t xml:space="preserve">4.0+</t>
  </si>
  <si>
    <t xml:space="preserve">Indoor saltwater pool; big-box lot</t>
  </si>
  <si>
    <t xml:space="preserve">4.0</t>
  </si>
  <si>
    <t xml:space="preserve">Patrolled lot; FREE hot bkfst</t>
  </si>
  <si>
    <t xml:space="preserve">Memphis E · Germantown Pkwy</t>
  </si>
  <si>
    <t xml:space="preserve">3.6</t>
  </si>
  <si>
    <t xml:space="preserve">Indoor pool; Starbucks lobby</t>
  </si>
  <si>
    <t xml:space="preserve">Montgomery · I-85 EastChase</t>
  </si>
  <si>
    <t xml:space="preserve">4.7</t>
  </si>
  <si>
    <t xml:space="preserve">Best of trip; FREE bkfst; huge lot</t>
  </si>
  <si>
    <t xml:space="preserve">Montgomery · I-85 Exit 4</t>
  </si>
  <si>
    <t xml:space="preserve">7.9/10</t>
  </si>
  <si>
    <t xml:space="preserve">Closest to East Blvd/I-65; pool</t>
  </si>
  <si>
    <t xml:space="preserve">Montgomery · I-85 Exit 6</t>
  </si>
  <si>
    <t xml:space="preserve">6.9/10</t>
  </si>
  <si>
    <t xml:space="preserve">Parking on 3 sides; outdoor pool</t>
  </si>
  <si>
    <t xml:space="preserve">Selected /night sum:</t>
  </si>
  <si>
    <t xml:space="preserve">TOTAL HOTELS (picks x rooms):</t>
  </si>
  <si>
    <t xml:space="preserve">Keep exactly one "x" per night. TOTAL = sum of picks x rooms/night.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</si>
</sst>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\$#,##0"/>
    <numFmt numFmtId="168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6B8A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2E6B8A"/>
      <name val="Arial"/>
      <family val="0"/>
      <charset val="1"/>
    </font>
    <font>
      <b val="true"/>
      <sz val="14"/>
      <color rgb="FF2E6B8A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color rgb="FF2E6B8A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6B8A"/>
        <bgColor rgb="FF0563C1"/>
      </patternFill>
    </fill>
    <fill>
      <patternFill patternType="solid">
        <fgColor rgb="FFE0A21A"/>
        <bgColor rgb="FFFFCC00"/>
      </patternFill>
    </fill>
    <fill>
      <patternFill patternType="solid">
        <fgColor rgb="FFFFF6D6"/>
        <bgColor rgb="FFE8F3EC"/>
      </patternFill>
    </fill>
    <fill>
      <patternFill patternType="solid">
        <fgColor rgb="FFE8F3EC"/>
        <bgColor rgb="FFFFF6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8A"/>
      <rgbColor rgb="FFCCCCCC"/>
      <rgbColor rgb="FF808080"/>
      <rgbColor rgb="FF9999FF"/>
      <rgbColor rgb="FF993366"/>
      <rgbColor rgb="FFFFF6D6"/>
      <rgbColor rgb="FFE8F3EC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0A21A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3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n">
        <v>1</v>
      </c>
      <c r="B6" s="5" t="s">
        <v>10</v>
      </c>
      <c r="C6" s="6" t="s">
        <v>11</v>
      </c>
      <c r="D6" s="6" t="s">
        <v>12</v>
      </c>
      <c r="E6" s="5" t="n">
        <v>290</v>
      </c>
      <c r="F6" s="5" t="n">
        <v>4.5</v>
      </c>
      <c r="G6" s="6" t="s">
        <v>13</v>
      </c>
    </row>
    <row r="7" customFormat="false" ht="15" hidden="false" customHeight="false" outlineLevel="0" collapsed="false">
      <c r="A7" s="5" t="n">
        <v>2</v>
      </c>
      <c r="B7" s="5" t="s">
        <v>14</v>
      </c>
      <c r="C7" s="6" t="s">
        <v>12</v>
      </c>
      <c r="D7" s="6" t="s">
        <v>15</v>
      </c>
      <c r="E7" s="5" t="n">
        <v>465</v>
      </c>
      <c r="F7" s="5" t="n">
        <v>7</v>
      </c>
      <c r="G7" s="6" t="s">
        <v>16</v>
      </c>
    </row>
    <row r="8" customFormat="false" ht="15" hidden="false" customHeight="false" outlineLevel="0" collapsed="false">
      <c r="A8" s="5" t="n">
        <v>3</v>
      </c>
      <c r="B8" s="5" t="s">
        <v>17</v>
      </c>
      <c r="C8" s="6" t="s">
        <v>18</v>
      </c>
      <c r="D8" s="6" t="s">
        <v>19</v>
      </c>
      <c r="E8" s="5" t="n">
        <v>330</v>
      </c>
      <c r="F8" s="5" t="n">
        <v>5</v>
      </c>
      <c r="G8" s="6" t="s">
        <v>20</v>
      </c>
    </row>
    <row r="9" customFormat="false" ht="26.85" hidden="false" customHeight="false" outlineLevel="0" collapsed="false">
      <c r="A9" s="5" t="n">
        <v>4</v>
      </c>
      <c r="B9" s="5" t="s">
        <v>21</v>
      </c>
      <c r="C9" s="6" t="s">
        <v>22</v>
      </c>
      <c r="D9" s="6" t="s">
        <v>23</v>
      </c>
      <c r="E9" s="5" t="n">
        <v>470</v>
      </c>
      <c r="F9" s="5" t="n">
        <v>7</v>
      </c>
      <c r="G9" s="6" t="s">
        <v>24</v>
      </c>
    </row>
    <row r="10" customFormat="false" ht="15" hidden="false" customHeight="false" outlineLevel="0" collapsed="false">
      <c r="A10" s="7" t="s">
        <v>25</v>
      </c>
      <c r="B10" s="7"/>
      <c r="C10" s="7"/>
      <c r="D10" s="7"/>
      <c r="E10" s="8" t="n">
        <f aca="false">SUM(E6:E9)</f>
        <v>1555</v>
      </c>
      <c r="F10" s="9" t="n">
        <f aca="false">SUM(F6:F9)</f>
        <v>23.5</v>
      </c>
      <c r="G10" s="7"/>
    </row>
    <row r="13" customFormat="false" ht="15" hidden="false" customHeight="false" outlineLevel="0" collapsed="false">
      <c r="A13" s="10" t="s">
        <v>26</v>
      </c>
    </row>
    <row r="14" customFormat="false" ht="15" hidden="false" customHeight="false" outlineLevel="0" collapsed="false">
      <c r="A14" s="11" t="s">
        <v>27</v>
      </c>
      <c r="B14" s="12" t="n">
        <f aca="false">Fuel!B14</f>
        <v>645.145170068027</v>
      </c>
    </row>
    <row r="15" customFormat="false" ht="15" hidden="false" customHeight="false" outlineLevel="0" collapsed="false">
      <c r="A15" s="11" t="s">
        <v>28</v>
      </c>
      <c r="B15" s="12" t="n">
        <f aca="false">Hotels!H20</f>
        <v>796</v>
      </c>
    </row>
    <row r="16" customFormat="false" ht="15" hidden="false" customHeight="false" outlineLevel="0" collapsed="false">
      <c r="A16" s="11" t="s">
        <v>29</v>
      </c>
      <c r="B16" s="12" t="n">
        <v>0</v>
      </c>
    </row>
    <row r="17" customFormat="false" ht="15" hidden="false" customHeight="false" outlineLevel="0" collapsed="false">
      <c r="A17" s="2" t="s">
        <v>30</v>
      </c>
    </row>
    <row r="18" customFormat="false" ht="15" hidden="false" customHeight="false" outlineLevel="0" collapsed="false">
      <c r="A18" s="7" t="s">
        <v>31</v>
      </c>
      <c r="B18" s="13" t="n">
        <f aca="false">B14+B15+B16</f>
        <v>1441.14517006803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4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15" t="s">
        <v>34</v>
      </c>
      <c r="B4" s="16" t="n">
        <v>1555</v>
      </c>
    </row>
    <row r="5" customFormat="false" ht="15" hidden="false" customHeight="false" outlineLevel="0" collapsed="false">
      <c r="A5" s="15" t="s">
        <v>35</v>
      </c>
      <c r="B5" s="17" t="n">
        <v>3.86</v>
      </c>
    </row>
    <row r="7" customFormat="false" ht="15" hidden="false" customHeight="false" outlineLevel="0" collapsed="false">
      <c r="A7" s="4" t="s">
        <v>36</v>
      </c>
      <c r="B7" s="4" t="s">
        <v>7</v>
      </c>
      <c r="C7" s="4" t="s">
        <v>37</v>
      </c>
      <c r="D7" s="4" t="s">
        <v>38</v>
      </c>
      <c r="E7" s="4" t="s">
        <v>39</v>
      </c>
      <c r="F7" s="4" t="s">
        <v>40</v>
      </c>
    </row>
    <row r="8" customFormat="false" ht="15" hidden="false" customHeight="false" outlineLevel="0" collapsed="false">
      <c r="A8" s="11" t="s">
        <v>41</v>
      </c>
      <c r="B8" s="18" t="n">
        <f aca="false">B4</f>
        <v>1555</v>
      </c>
      <c r="C8" s="19" t="n">
        <v>15</v>
      </c>
      <c r="D8" s="20" t="n">
        <f aca="false">B8/C8</f>
        <v>103.666666666667</v>
      </c>
      <c r="E8" s="21" t="n">
        <f aca="false">$B$5</f>
        <v>3.86</v>
      </c>
      <c r="F8" s="22" t="n">
        <f aca="false">D8*E8</f>
        <v>400.153333333333</v>
      </c>
    </row>
    <row r="9" customFormat="false" ht="15" hidden="false" customHeight="false" outlineLevel="0" collapsed="false">
      <c r="A9" s="11" t="s">
        <v>42</v>
      </c>
      <c r="B9" s="18" t="n">
        <f aca="false">B4</f>
        <v>1555</v>
      </c>
      <c r="C9" s="19" t="n">
        <v>24.5</v>
      </c>
      <c r="D9" s="20" t="n">
        <f aca="false">B9/C9</f>
        <v>63.469387755102</v>
      </c>
      <c r="E9" s="21" t="n">
        <f aca="false">$B$5</f>
        <v>3.86</v>
      </c>
      <c r="F9" s="22" t="n">
        <f aca="false">D9*E9</f>
        <v>244.991836734694</v>
      </c>
    </row>
    <row r="10" customFormat="false" ht="15" hidden="false" customHeight="false" outlineLevel="0" collapsed="false">
      <c r="A10" s="23" t="s">
        <v>43</v>
      </c>
      <c r="B10" s="24"/>
      <c r="C10" s="24"/>
      <c r="D10" s="25" t="n">
        <f aca="false">SUM(D8:D9)</f>
        <v>167.136054421769</v>
      </c>
      <c r="E10" s="24"/>
      <c r="F10" s="26" t="n">
        <f aca="false">SUM(F8:F9)</f>
        <v>645.145170068027</v>
      </c>
    </row>
    <row r="12" customFormat="false" ht="15" hidden="false" customHeight="false" outlineLevel="0" collapsed="false">
      <c r="A12" s="15" t="s">
        <v>44</v>
      </c>
    </row>
    <row r="13" customFormat="false" ht="15" hidden="false" customHeight="false" outlineLevel="0" collapsed="false">
      <c r="A13" s="27" t="s">
        <v>45</v>
      </c>
    </row>
    <row r="14" customFormat="false" ht="15" hidden="false" customHeight="false" outlineLevel="0" collapsed="false">
      <c r="A14" s="15" t="s">
        <v>46</v>
      </c>
      <c r="B14" s="28" t="n">
        <f aca="false">F10</f>
        <v>645.145170068027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6" min="5" style="0" width="9"/>
    <col collapsed="false" customWidth="true" hidden="false" outlineLevel="0" max="7" min="7" style="0" width="11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29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15" t="s">
        <v>49</v>
      </c>
      <c r="B4" s="16" t="n">
        <v>2</v>
      </c>
    </row>
    <row r="6" customFormat="false" ht="15" hidden="false" customHeight="false" outlineLevel="0" collapsed="false">
      <c r="A6" s="4" t="s">
        <v>50</v>
      </c>
      <c r="B6" s="4" t="s">
        <v>51</v>
      </c>
      <c r="C6" s="4" t="s">
        <v>52</v>
      </c>
      <c r="D6" s="4" t="s">
        <v>53</v>
      </c>
      <c r="E6" s="4" t="s">
        <v>54</v>
      </c>
      <c r="F6" s="4" t="s">
        <v>55</v>
      </c>
      <c r="G6" s="4" t="s">
        <v>56</v>
      </c>
      <c r="H6" s="4" t="s">
        <v>57</v>
      </c>
    </row>
    <row r="7" customFormat="false" ht="15" hidden="false" customHeight="false" outlineLevel="0" collapsed="false">
      <c r="A7" s="30" t="s">
        <v>58</v>
      </c>
      <c r="B7" s="31" t="n">
        <v>1</v>
      </c>
      <c r="C7" s="32" t="s">
        <v>59</v>
      </c>
      <c r="D7" s="33" t="str">
        <f aca="false">HYPERLINK("https://www.hotels.com/Hotel-Search?destination=Courtyard%20OKC%20Airport%2C%20Oklahoma%20City%2C%20OK","Courtyard OKC Airport")</f>
        <v>Courtyard OKC Airport</v>
      </c>
      <c r="E7" s="32" t="s">
        <v>60</v>
      </c>
      <c r="F7" s="31" t="s">
        <v>61</v>
      </c>
      <c r="G7" s="34" t="n">
        <v>128</v>
      </c>
      <c r="H7" s="32" t="s">
        <v>62</v>
      </c>
    </row>
    <row r="8" customFormat="false" ht="15" hidden="false" customHeight="false" outlineLevel="0" collapsed="false">
      <c r="A8" s="35"/>
      <c r="B8" s="5" t="n">
        <v>1</v>
      </c>
      <c r="C8" s="6" t="s">
        <v>63</v>
      </c>
      <c r="D8" s="36" t="str">
        <f aca="false">HYPERLINK("https://www.hotels.com/Hotel-Search?destination=Home2%20Suites%20OKC%20Airport%2C%20Oklahoma%20City%2C%20OK","Home2 Suites OKC Airport")</f>
        <v>Home2 Suites OKC Airport</v>
      </c>
      <c r="E8" s="6" t="s">
        <v>64</v>
      </c>
      <c r="F8" s="5" t="s">
        <v>65</v>
      </c>
      <c r="G8" s="12" t="n">
        <v>132</v>
      </c>
      <c r="H8" s="6" t="s">
        <v>66</v>
      </c>
    </row>
    <row r="9" customFormat="false" ht="15" hidden="false" customHeight="false" outlineLevel="0" collapsed="false">
      <c r="A9" s="35"/>
      <c r="B9" s="5" t="n">
        <v>1</v>
      </c>
      <c r="C9" s="6" t="s">
        <v>67</v>
      </c>
      <c r="D9" s="36" t="str">
        <f aca="false">HYPERLINK("https://www.hotels.com/Hotel-Search?destination=Fairfield%20Inn%20%26%20Suites%20OKC%20Airport%2C%20Oklahoma%20City%2C%20OK","Fairfield Inn &amp; Suites OKC Airport")</f>
        <v>Fairfield Inn &amp; Suites OKC Airport</v>
      </c>
      <c r="E9" s="6" t="s">
        <v>60</v>
      </c>
      <c r="F9" s="5" t="s">
        <v>68</v>
      </c>
      <c r="G9" s="12" t="n">
        <v>122</v>
      </c>
      <c r="H9" s="6" t="s">
        <v>69</v>
      </c>
    </row>
    <row r="10" customFormat="false" ht="15" hidden="false" customHeight="false" outlineLevel="0" collapsed="false">
      <c r="A10" s="30" t="s">
        <v>58</v>
      </c>
      <c r="B10" s="31" t="n">
        <v>2</v>
      </c>
      <c r="C10" s="32" t="s">
        <v>70</v>
      </c>
      <c r="D10" s="33" t="str">
        <f aca="false">HYPERLINK("https://www.hotels.com/Hotel-Search?destination=Hilton%20Garden%20Inn%20Wolfchase%2C%20Memphis%2C%20TN","Hilton Garden Inn Wolfchase")</f>
        <v>Hilton Garden Inn Wolfchase</v>
      </c>
      <c r="E10" s="32" t="s">
        <v>64</v>
      </c>
      <c r="F10" s="31" t="s">
        <v>71</v>
      </c>
      <c r="G10" s="34" t="n">
        <v>130</v>
      </c>
      <c r="H10" s="32" t="s">
        <v>72</v>
      </c>
    </row>
    <row r="11" customFormat="false" ht="15" hidden="false" customHeight="false" outlineLevel="0" collapsed="false">
      <c r="A11" s="35"/>
      <c r="B11" s="5" t="n">
        <v>2</v>
      </c>
      <c r="C11" s="6" t="s">
        <v>70</v>
      </c>
      <c r="D11" s="36" t="str">
        <f aca="false">HYPERLINK("https://www.hotels.com/Hotel-Search?destination=Hampton%20Inn%20%26%20Suites%20Wolfchase%2C%20Memphis%2C%20TN","Hampton Inn &amp; Suites Wolfchase")</f>
        <v>Hampton Inn &amp; Suites Wolfchase</v>
      </c>
      <c r="E11" s="6" t="s">
        <v>64</v>
      </c>
      <c r="F11" s="5" t="s">
        <v>73</v>
      </c>
      <c r="G11" s="12" t="n">
        <v>130</v>
      </c>
      <c r="H11" s="6" t="s">
        <v>74</v>
      </c>
    </row>
    <row r="12" customFormat="false" ht="26.85" hidden="false" customHeight="false" outlineLevel="0" collapsed="false">
      <c r="A12" s="35"/>
      <c r="B12" s="5" t="n">
        <v>2</v>
      </c>
      <c r="C12" s="6" t="s">
        <v>75</v>
      </c>
      <c r="D12" s="36" t="str">
        <f aca="false">HYPERLINK("https://www.hotels.com/Hotel-Search?destination=Courtyard%20Memphis%20Germantown%2C%20Memphis%2C%20TN","Courtyard Memphis Germantown")</f>
        <v>Courtyard Memphis Germantown</v>
      </c>
      <c r="E12" s="6" t="s">
        <v>60</v>
      </c>
      <c r="F12" s="5" t="s">
        <v>76</v>
      </c>
      <c r="G12" s="12" t="n">
        <v>125</v>
      </c>
      <c r="H12" s="6" t="s">
        <v>77</v>
      </c>
    </row>
    <row r="13" customFormat="false" ht="26.85" hidden="false" customHeight="false" outlineLevel="0" collapsed="false">
      <c r="A13" s="30" t="s">
        <v>58</v>
      </c>
      <c r="B13" s="31" t="n">
        <v>3</v>
      </c>
      <c r="C13" s="32" t="s">
        <v>78</v>
      </c>
      <c r="D13" s="33" t="str">
        <f aca="false">HYPERLINK("https://www.hotels.com/Hotel-Search?destination=Hampton%20Inn%20%26%20Suites%20EastChase%2C%20Montgomery%2C%20AL","Hampton Inn &amp; Suites EastChase")</f>
        <v>Hampton Inn &amp; Suites EastChase</v>
      </c>
      <c r="E13" s="32" t="s">
        <v>64</v>
      </c>
      <c r="F13" s="31" t="s">
        <v>79</v>
      </c>
      <c r="G13" s="34" t="n">
        <v>140</v>
      </c>
      <c r="H13" s="32" t="s">
        <v>80</v>
      </c>
    </row>
    <row r="14" customFormat="false" ht="15" hidden="false" customHeight="false" outlineLevel="0" collapsed="false">
      <c r="A14" s="35"/>
      <c r="B14" s="5" t="n">
        <v>3</v>
      </c>
      <c r="C14" s="6" t="s">
        <v>81</v>
      </c>
      <c r="D14" s="36" t="str">
        <f aca="false">HYPERLINK("https://www.hotels.com/Hotel-Search?destination=Hilton%20Garden%20Inn%20Montgomery%20East%2C%20Montgomery%2C%20AL","Hilton Garden Inn Montgomery East")</f>
        <v>Hilton Garden Inn Montgomery East</v>
      </c>
      <c r="E14" s="6" t="s">
        <v>64</v>
      </c>
      <c r="F14" s="5" t="s">
        <v>82</v>
      </c>
      <c r="G14" s="12" t="n">
        <v>125</v>
      </c>
      <c r="H14" s="6" t="s">
        <v>83</v>
      </c>
    </row>
    <row r="15" customFormat="false" ht="26.85" hidden="false" customHeight="false" outlineLevel="0" collapsed="false">
      <c r="A15" s="35"/>
      <c r="B15" s="5" t="n">
        <v>3</v>
      </c>
      <c r="C15" s="6" t="s">
        <v>84</v>
      </c>
      <c r="D15" s="36" t="str">
        <f aca="false">HYPERLINK("https://www.hotels.com/Hotel-Search?destination=Courtyard%20Montgomery%20%28Carmichael%29%2C%20Montgomery%2C%20AL","Courtyard Montgomery (Carmichael)")</f>
        <v>Courtyard Montgomery (Carmichael)</v>
      </c>
      <c r="E15" s="6" t="s">
        <v>60</v>
      </c>
      <c r="F15" s="5" t="s">
        <v>85</v>
      </c>
      <c r="G15" s="12" t="n">
        <v>120</v>
      </c>
      <c r="H15" s="6" t="s">
        <v>86</v>
      </c>
    </row>
    <row r="19" customFormat="false" ht="15" hidden="false" customHeight="false" outlineLevel="0" collapsed="false">
      <c r="A19" s="15" t="s">
        <v>87</v>
      </c>
      <c r="G19" s="28" t="n">
        <f aca="false">SUMIF(A7:A15,"x",G7:G15)</f>
        <v>398</v>
      </c>
    </row>
    <row r="20" customFormat="false" ht="15" hidden="false" customHeight="false" outlineLevel="0" collapsed="false">
      <c r="A20" s="7" t="s">
        <v>88</v>
      </c>
      <c r="H20" s="13" t="n">
        <f aca="false">SUMIF(A7:A15,"x",G7:G15)*B4</f>
        <v>796</v>
      </c>
    </row>
    <row r="22" customFormat="false" ht="15" hidden="false" customHeight="false" outlineLevel="0" collapsed="false">
      <c r="A22" s="2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2026-06-05T03:52:44Z</dcterms:created>
  <dc:creator>openpyxl</dc:creator>
  <dc:description/>
  <dc:language>en-US</dc:language>
  <cp:lastModifiedBy/>
  <dcterms:modified xsi:type="dcterms:W3CDTF">2026-06-05T03:52:44Z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